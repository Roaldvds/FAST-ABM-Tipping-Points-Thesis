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ridwagenbla/Documents/gits/STPinABM/TippingABM/data/processed/"/>
    </mc:Choice>
  </mc:AlternateContent>
  <xr:revisionPtr revIDLastSave="0" documentId="13_ncr:1_{727BD191-240E-0744-8F07-534D388C96A1}" xr6:coauthVersionLast="47" xr6:coauthVersionMax="47" xr10:uidLastSave="{00000000-0000-0000-0000-000000000000}"/>
  <bookViews>
    <workbookView xWindow="-36980" yWindow="900" windowWidth="32440" windowHeight="18700" xr2:uid="{BF66F9F5-A450-2E41-90FF-C0600DBFF034}"/>
  </bookViews>
  <sheets>
    <sheet name="Sheet1" sheetId="1" r:id="rId1"/>
  </sheets>
  <externalReferences>
    <externalReference r:id="rId2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B32" i="1"/>
  <c r="C32" i="1"/>
  <c r="D32" i="1"/>
  <c r="B33" i="1"/>
  <c r="C33" i="1"/>
  <c r="D33" i="1"/>
  <c r="B34" i="1"/>
  <c r="C34" i="1"/>
  <c r="D34" i="1"/>
  <c r="C21" i="1"/>
  <c r="C30" i="1"/>
  <c r="D21" i="1"/>
  <c r="D30" i="1"/>
  <c r="B30" i="1"/>
</calcChain>
</file>

<file path=xl/sharedStrings.xml><?xml version="1.0" encoding="utf-8"?>
<sst xmlns="http://schemas.openxmlformats.org/spreadsheetml/2006/main" count="36" uniqueCount="24">
  <si>
    <t>Depth damage function</t>
  </si>
  <si>
    <t>Huizinga et al 2017</t>
  </si>
  <si>
    <t>https://publications.jrc.ec.europa.eu/repository/handle/JRC105688</t>
  </si>
  <si>
    <t>Europe</t>
  </si>
  <si>
    <t>Damage
class</t>
  </si>
  <si>
    <t>Flood depth,
[m]</t>
  </si>
  <si>
    <t>Residential buildings</t>
  </si>
  <si>
    <t>-</t>
  </si>
  <si>
    <t>United Kingdom</t>
  </si>
  <si>
    <t>Central Europe and the Baltics</t>
  </si>
  <si>
    <t>European Union</t>
  </si>
  <si>
    <t>Euro area</t>
  </si>
  <si>
    <t>OECD members</t>
  </si>
  <si>
    <t>Building based</t>
  </si>
  <si>
    <t>Max Damage Structure</t>
  </si>
  <si>
    <t>Max Damage Content</t>
  </si>
  <si>
    <t>Total</t>
  </si>
  <si>
    <t>(€/m2, 2010)</t>
  </si>
  <si>
    <t>Damage function EUROPE</t>
  </si>
  <si>
    <t xml:space="preserve">Building based </t>
  </si>
  <si>
    <t>(€/m2, 2023)</t>
  </si>
  <si>
    <t>Inflation 2010-2023</t>
  </si>
  <si>
    <t>factor</t>
  </si>
  <si>
    <t>https://www.inflationtool.com/euro?amount=1&amp;year1=2010&amp;year2=2023&amp;frequency=yearly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</si>
</sst>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3" xfId="0" applyBorder="1"/>
    <xf numFmtId="0" fontId="1" fillId="0" borderId="1" xfId="1" applyBorder="1" applyAlignment="1">
      <alignment horizontal="right"/>
    </xf>
    <xf numFmtId="0" fontId="1" fillId="0" borderId="3" xfId="1" applyBorder="1" applyAlignment="1">
      <alignment horizontal="right"/>
    </xf>
    <xf numFmtId="2" fontId="1" fillId="0" borderId="10" xfId="1" applyNumberFormat="1" applyBorder="1" applyAlignment="1">
      <alignment horizontal="center" vertical="center"/>
    </xf>
    <xf numFmtId="2" fontId="1" fillId="0" borderId="8" xfId="1" applyNumberFormat="1" applyBorder="1" applyAlignment="1">
      <alignment horizontal="center" vertical="center"/>
    </xf>
    <xf numFmtId="0" fontId="1" fillId="0" borderId="13" xfId="1" applyBorder="1" applyAlignment="1">
      <alignment horizontal="right"/>
    </xf>
    <xf numFmtId="2" fontId="1" fillId="0" borderId="14" xfId="1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1" fillId="0" borderId="0" xfId="1" applyAlignment="1">
      <alignment horizontal="right"/>
    </xf>
    <xf numFmtId="0" fontId="0" fillId="0" borderId="15" xfId="0" applyBorder="1"/>
    <xf numFmtId="0" fontId="0" fillId="0" borderId="11" xfId="0" applyBorder="1"/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16" xfId="0" applyNumberFormat="1" applyBorder="1"/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1" xfId="0" applyNumberFormat="1" applyBorder="1"/>
    <xf numFmtId="1" fontId="0" fillId="0" borderId="2" xfId="0" applyNumberFormat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/>
    <xf numFmtId="0" fontId="0" fillId="0" borderId="13" xfId="0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3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0" fillId="0" borderId="3" xfId="0" applyBorder="1"/>
    <xf numFmtId="0" fontId="1" fillId="0" borderId="9" xfId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1" fillId="0" borderId="6" xfId="1" applyBorder="1" applyAlignment="1">
      <alignment horizontal="center" vertical="center" wrapText="1"/>
    </xf>
    <xf numFmtId="0" fontId="1" fillId="0" borderId="23" xfId="1" applyBorder="1" applyAlignment="1">
      <alignment horizontal="center" vertical="center" wrapText="1"/>
    </xf>
  </cellXfs>
  <cellStyles count="2">
    <cellStyle name="Normal" xfId="0" builtinId="0"/>
    <cellStyle name="Normal 2" xfId="1" xr:uid="{8D0DE83F-C9F0-C54E-BA32-EB4667C430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Damage function EUROPE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1"/>
            <c:dispEq val="1"/>
            <c:trendlineLbl>
              <c:layout>
                <c:manualLayout>
                  <c:x val="-0.15805606792879637"/>
                  <c:y val="-2.1203263223210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Sheet1!$B$7:$B$16</c:f>
              <c:numCache>
                <c:formatCode>General</c:formatCode>
                <c:ptCount val="10"/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Sheet1!$C$7:$C$16</c:f>
              <c:numCache>
                <c:formatCode>0.00</c:formatCode>
                <c:ptCount val="10"/>
                <c:pt idx="1">
                  <c:v>0</c:v>
                </c:pt>
                <c:pt idx="2">
                  <c:v>0.25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C3-4543-BF9A-B08B7C1E9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4384"/>
        <c:axId val="1246454032"/>
      </c:scatterChart>
      <c:valAx>
        <c:axId val="124586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Flood depth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54032"/>
        <c:crosses val="autoZero"/>
        <c:crossBetween val="midCat"/>
      </c:valAx>
      <c:valAx>
        <c:axId val="12464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Damage factor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3</xdr:row>
      <xdr:rowOff>120650</xdr:rowOff>
    </xdr:from>
    <xdr:to>
      <xdr:col>11</xdr:col>
      <xdr:colOff>590550</xdr:colOff>
      <xdr:row>16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BB0E-2F39-DEE7-2B96-9AF0E36CB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horidwagenbla/Downloads/copy_of_global_flood_depth-damage_functions__30102017.xlsx" TargetMode="External"/><Relationship Id="rId1" Type="http://schemas.openxmlformats.org/officeDocument/2006/relationships/externalLinkPath" Target="/Users/thoridwagenbla/Downloads/copy_of_global_flood_depth-damage_functions__301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Quick Start Guide"/>
      <sheetName val="Damage functions"/>
      <sheetName val="MaxDamage-Residential"/>
      <sheetName val="MaxDamage-Commercial"/>
      <sheetName val="MaxDamage-Industrial"/>
      <sheetName val="MaxDamage-Agriculture"/>
      <sheetName val="MaxDamage-Infrastructure"/>
      <sheetName val="MaxDamage-Transport"/>
      <sheetName val="MaxDamage-Adjustment"/>
      <sheetName val="MaxDamage-Data"/>
      <sheetName val="ISO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I5">
            <v>0.5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65CC-F2A7-FD4C-B3E9-DCFA497344A6}">
  <dimension ref="A1:I34"/>
  <sheetViews>
    <sheetView tabSelected="1" topLeftCell="C1" zoomScale="214" zoomScaleNormal="200" workbookViewId="0">
      <selection activeCell="F11" sqref="F11"/>
    </sheetView>
  </sheetViews>
  <sheetFormatPr baseColWidth="10" defaultRowHeight="16" x14ac:dyDescent="0.2"/>
  <cols>
    <col min="1" max="1" width="21.6640625" customWidth="1"/>
    <col min="3" max="3" width="17.332031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</row>
    <row r="5" spans="1:9" ht="17" thickBot="1" x14ac:dyDescent="0.25">
      <c r="A5" t="s">
        <v>3</v>
      </c>
    </row>
    <row r="6" spans="1:9" x14ac:dyDescent="0.2">
      <c r="A6" s="42" t="s">
        <v>4</v>
      </c>
      <c r="B6" s="44" t="s">
        <v>5</v>
      </c>
      <c r="C6" s="49" t="s">
        <v>18</v>
      </c>
      <c r="D6" s="8"/>
      <c r="E6" s="8"/>
      <c r="F6" s="8"/>
      <c r="G6" s="8"/>
      <c r="H6" s="8"/>
      <c r="I6" s="8"/>
    </row>
    <row r="7" spans="1:9" x14ac:dyDescent="0.2">
      <c r="A7" s="43"/>
      <c r="B7" s="45"/>
      <c r="C7" s="50"/>
      <c r="D7" s="9"/>
      <c r="E7" s="10"/>
      <c r="F7" s="9"/>
      <c r="G7" s="9"/>
      <c r="H7" s="9"/>
      <c r="I7" s="11"/>
    </row>
    <row r="8" spans="1:9" x14ac:dyDescent="0.2">
      <c r="A8" s="46" t="s">
        <v>6</v>
      </c>
      <c r="B8" s="2">
        <v>0</v>
      </c>
      <c r="C8" s="4">
        <v>0</v>
      </c>
      <c r="D8" s="12"/>
      <c r="E8" s="12"/>
      <c r="F8" s="12"/>
      <c r="G8" s="12"/>
      <c r="H8" s="12"/>
      <c r="I8" s="13"/>
    </row>
    <row r="9" spans="1:9" x14ac:dyDescent="0.2">
      <c r="A9" s="47"/>
      <c r="B9" s="3">
        <v>0.5</v>
      </c>
      <c r="C9" s="5">
        <v>0.25</v>
      </c>
      <c r="D9" s="12"/>
      <c r="E9" s="12"/>
      <c r="F9" s="12"/>
      <c r="G9" s="12"/>
      <c r="H9" s="12"/>
      <c r="I9" s="13"/>
    </row>
    <row r="10" spans="1:9" x14ac:dyDescent="0.2">
      <c r="A10" s="47"/>
      <c r="B10" s="3">
        <v>1</v>
      </c>
      <c r="C10" s="5">
        <v>0.4</v>
      </c>
      <c r="D10" s="12"/>
      <c r="E10" s="12"/>
      <c r="F10" s="12"/>
      <c r="G10" s="12"/>
      <c r="H10" s="12"/>
      <c r="I10" s="13"/>
    </row>
    <row r="11" spans="1:9" x14ac:dyDescent="0.2">
      <c r="A11" s="47"/>
      <c r="B11" s="3">
        <v>1.5</v>
      </c>
      <c r="C11" s="5">
        <v>0.5</v>
      </c>
      <c r="D11" s="12"/>
      <c r="E11" s="12"/>
      <c r="F11" s="12"/>
      <c r="G11" s="12"/>
      <c r="H11" s="12"/>
      <c r="I11" s="13"/>
    </row>
    <row r="12" spans="1:9" x14ac:dyDescent="0.2">
      <c r="A12" s="47"/>
      <c r="B12" s="3">
        <v>2</v>
      </c>
      <c r="C12" s="5">
        <v>0.6</v>
      </c>
      <c r="D12" s="12"/>
      <c r="E12" s="12"/>
      <c r="F12" s="12"/>
      <c r="G12" s="12"/>
      <c r="H12" s="12"/>
      <c r="I12" s="13"/>
    </row>
    <row r="13" spans="1:9" x14ac:dyDescent="0.2">
      <c r="A13" s="47"/>
      <c r="B13" s="3">
        <v>3</v>
      </c>
      <c r="C13" s="5">
        <v>0.75</v>
      </c>
      <c r="D13" s="12"/>
      <c r="E13" s="12"/>
      <c r="F13" s="12"/>
      <c r="G13" s="12"/>
      <c r="H13" s="12"/>
      <c r="I13" s="13"/>
    </row>
    <row r="14" spans="1:9" x14ac:dyDescent="0.2">
      <c r="A14" s="47"/>
      <c r="B14" s="3">
        <v>4</v>
      </c>
      <c r="C14" s="5">
        <v>0.85</v>
      </c>
      <c r="D14" s="12"/>
      <c r="E14" s="12"/>
      <c r="F14" s="12"/>
      <c r="G14" s="12"/>
      <c r="H14" s="12"/>
      <c r="I14" s="13"/>
    </row>
    <row r="15" spans="1:9" x14ac:dyDescent="0.2">
      <c r="A15" s="47"/>
      <c r="B15" s="3">
        <v>5</v>
      </c>
      <c r="C15" s="5">
        <v>0.95</v>
      </c>
      <c r="D15" s="12"/>
      <c r="E15" s="12"/>
      <c r="F15" s="12"/>
      <c r="G15" s="12"/>
      <c r="H15" s="12"/>
      <c r="I15" s="13"/>
    </row>
    <row r="16" spans="1:9" ht="17" thickBot="1" x14ac:dyDescent="0.25">
      <c r="A16" s="48"/>
      <c r="B16" s="6">
        <v>6</v>
      </c>
      <c r="C16" s="7">
        <v>1</v>
      </c>
      <c r="D16" s="12"/>
      <c r="E16" s="12"/>
      <c r="F16" s="12"/>
      <c r="G16" s="12"/>
      <c r="H16" s="12"/>
      <c r="I16" s="13"/>
    </row>
    <row r="17" spans="1:9" ht="17" thickBot="1" x14ac:dyDescent="0.25">
      <c r="A17" s="14"/>
      <c r="B17" s="15"/>
      <c r="C17" s="12"/>
      <c r="D17" s="12"/>
      <c r="E17" s="12"/>
      <c r="F17" s="12"/>
      <c r="G17" s="12"/>
      <c r="H17" s="12"/>
      <c r="I17" s="13"/>
    </row>
    <row r="18" spans="1:9" x14ac:dyDescent="0.2">
      <c r="A18" s="16"/>
      <c r="B18" s="39" t="s">
        <v>13</v>
      </c>
      <c r="C18" s="40"/>
      <c r="D18" s="41"/>
    </row>
    <row r="19" spans="1:9" ht="51" x14ac:dyDescent="0.2">
      <c r="A19" s="17"/>
      <c r="B19" s="26" t="s">
        <v>14</v>
      </c>
      <c r="C19" s="27" t="s">
        <v>15</v>
      </c>
      <c r="D19" s="31" t="s">
        <v>16</v>
      </c>
    </row>
    <row r="20" spans="1:9" ht="32" x14ac:dyDescent="0.2">
      <c r="A20" s="17"/>
      <c r="B20" s="30" t="s">
        <v>17</v>
      </c>
      <c r="C20" s="18" t="s">
        <v>17</v>
      </c>
      <c r="D20" s="19" t="s">
        <v>17</v>
      </c>
    </row>
    <row r="21" spans="1:9" x14ac:dyDescent="0.2">
      <c r="A21" s="17" t="s">
        <v>8</v>
      </c>
      <c r="B21" s="28">
        <v>505</v>
      </c>
      <c r="C21" s="29">
        <f>B21*'[1]MaxDamage-Adjustment'!$I$5</f>
        <v>252.5</v>
      </c>
      <c r="D21" s="32">
        <f t="shared" ref="D21" si="0">C21+B21</f>
        <v>757.5</v>
      </c>
    </row>
    <row r="22" spans="1:9" x14ac:dyDescent="0.2">
      <c r="A22" s="17" t="s">
        <v>9</v>
      </c>
      <c r="B22" s="1">
        <v>328</v>
      </c>
      <c r="C22">
        <v>164</v>
      </c>
      <c r="D22" s="22">
        <v>491</v>
      </c>
    </row>
    <row r="23" spans="1:9" x14ac:dyDescent="0.2">
      <c r="A23" s="17" t="s">
        <v>10</v>
      </c>
      <c r="B23" s="1">
        <v>480</v>
      </c>
      <c r="C23">
        <v>240</v>
      </c>
      <c r="D23" s="22">
        <v>720</v>
      </c>
    </row>
    <row r="24" spans="1:9" x14ac:dyDescent="0.2">
      <c r="A24" s="17" t="s">
        <v>11</v>
      </c>
      <c r="B24" s="1">
        <v>503</v>
      </c>
      <c r="C24">
        <v>251</v>
      </c>
      <c r="D24" s="22">
        <v>754</v>
      </c>
    </row>
    <row r="25" spans="1:9" ht="17" thickBot="1" x14ac:dyDescent="0.25">
      <c r="A25" s="23" t="s">
        <v>12</v>
      </c>
      <c r="B25" s="33">
        <v>492</v>
      </c>
      <c r="C25" s="24">
        <v>246</v>
      </c>
      <c r="D25" s="25">
        <v>737</v>
      </c>
    </row>
    <row r="26" spans="1:9" ht="17" thickBot="1" x14ac:dyDescent="0.25">
      <c r="A26" t="s">
        <v>21</v>
      </c>
      <c r="B26" t="s">
        <v>22</v>
      </c>
      <c r="C26">
        <v>1.32</v>
      </c>
      <c r="E26" t="s">
        <v>23</v>
      </c>
    </row>
    <row r="27" spans="1:9" x14ac:dyDescent="0.2">
      <c r="A27" s="16"/>
      <c r="B27" s="39" t="s">
        <v>19</v>
      </c>
      <c r="C27" s="40"/>
      <c r="D27" s="41"/>
    </row>
    <row r="28" spans="1:9" ht="51" x14ac:dyDescent="0.2">
      <c r="A28" s="17"/>
      <c r="B28" s="26" t="s">
        <v>14</v>
      </c>
      <c r="C28" s="27" t="s">
        <v>15</v>
      </c>
      <c r="D28" s="31" t="s">
        <v>16</v>
      </c>
    </row>
    <row r="29" spans="1:9" ht="32" x14ac:dyDescent="0.2">
      <c r="A29" s="17"/>
      <c r="B29" s="30" t="s">
        <v>20</v>
      </c>
      <c r="C29" s="18" t="s">
        <v>20</v>
      </c>
      <c r="D29" s="19" t="s">
        <v>20</v>
      </c>
    </row>
    <row r="30" spans="1:9" x14ac:dyDescent="0.2">
      <c r="A30" s="17" t="s">
        <v>8</v>
      </c>
      <c r="B30" s="28">
        <f>B21*$C$26</f>
        <v>666.6</v>
      </c>
      <c r="C30" s="34">
        <f t="shared" ref="C30:D30" si="1">C21*$C$26</f>
        <v>333.3</v>
      </c>
      <c r="D30" s="32">
        <f t="shared" si="1"/>
        <v>999.90000000000009</v>
      </c>
    </row>
    <row r="31" spans="1:9" x14ac:dyDescent="0.2">
      <c r="A31" s="17" t="s">
        <v>9</v>
      </c>
      <c r="B31" s="35">
        <f t="shared" ref="B31:D31" si="2">B22*$C$26</f>
        <v>432.96000000000004</v>
      </c>
      <c r="C31" s="20">
        <f t="shared" si="2"/>
        <v>216.48000000000002</v>
      </c>
      <c r="D31" s="21">
        <f t="shared" si="2"/>
        <v>648.12</v>
      </c>
    </row>
    <row r="32" spans="1:9" x14ac:dyDescent="0.2">
      <c r="A32" s="17" t="s">
        <v>10</v>
      </c>
      <c r="B32" s="35">
        <f t="shared" ref="B32:D32" si="3">B23*$C$26</f>
        <v>633.6</v>
      </c>
      <c r="C32" s="20">
        <f t="shared" si="3"/>
        <v>316.8</v>
      </c>
      <c r="D32" s="21">
        <f t="shared" si="3"/>
        <v>950.40000000000009</v>
      </c>
      <c r="G32" t="s">
        <v>7</v>
      </c>
    </row>
    <row r="33" spans="1:4" x14ac:dyDescent="0.2">
      <c r="A33" s="17" t="s">
        <v>11</v>
      </c>
      <c r="B33" s="35">
        <f t="shared" ref="B33:D33" si="4">B24*$C$26</f>
        <v>663.96</v>
      </c>
      <c r="C33" s="20">
        <f t="shared" si="4"/>
        <v>331.32</v>
      </c>
      <c r="D33" s="21">
        <f t="shared" si="4"/>
        <v>995.28000000000009</v>
      </c>
    </row>
    <row r="34" spans="1:4" ht="17" thickBot="1" x14ac:dyDescent="0.25">
      <c r="A34" s="23" t="s">
        <v>12</v>
      </c>
      <c r="B34" s="36">
        <f t="shared" ref="B34:D34" si="5">B25*$C$26</f>
        <v>649.44000000000005</v>
      </c>
      <c r="C34" s="37">
        <f t="shared" si="5"/>
        <v>324.72000000000003</v>
      </c>
      <c r="D34" s="38">
        <f t="shared" si="5"/>
        <v>972.84</v>
      </c>
    </row>
  </sheetData>
  <mergeCells count="6">
    <mergeCell ref="B27:D27"/>
    <mergeCell ref="A6:A7"/>
    <mergeCell ref="B6:B7"/>
    <mergeCell ref="A8:A16"/>
    <mergeCell ref="B18:D18"/>
    <mergeCell ref="C6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Thorid Wagenblast</dc:creator>
  <cp:lastModifiedBy>Thorid Wagenblast</cp:lastModifiedBy>
  <dcterms:created xsi:type="dcterms:W3CDTF">2025-05-27T12:20:04Z</dcterms:created>
  <dcterms:modified xsi:type="dcterms:W3CDTF">2025-07-15T15:21:59Z</dcterms:modified>
</cp:coreProperties>
</file>